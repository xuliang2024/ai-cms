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7440"/>
  </bookViews>
  <sheets>
    <sheet name="Sheet1" sheetId="1" r:id="rId1"/>
  </sheets>
  <definedNames>
    <definedName name="_xlnm._FilterDatabase" localSheetId="0" hidden="1">Sheet1!$A$1:$F$3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<sst xmlns="http://schemas.openxmlformats.org/spreadsheetml/2006/main" count="15" uniqueCount="13">
  <si>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日期</t>
  </si>
  <si>
    <t>用户类型</t>
  </si>
  <si>
    <t>抖音视频url</t>
  </si>
  <si>
    <t>抖音UID</t>
  </si>
  <si>
    <t>GID</t>
  </si>
  <si>
    <t>用户量级</t>
  </si>
  <si>
    <t>推广名字</t>
  </si>
  <si>
    <t>2025-07-31</t>
  </si>
  <si>
    <t>1新用户</t>
  </si>
  <si>
    <t>https://www.douyin.com/discover?modal_id=7531382254859095359</t>
  </si>
  <si>
    <t>剪映（模版拉新）</t>
  </si>
  <si>
    <t>2失活用户</t>
  </si>
  <si>
    <t>https://www.douyin.com/discover?modal_id=7530595900563262771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</si>
</sst>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E6" sqref="E6"/>
    </sheetView>
  </sheetViews>
  <sheetFormatPr defaultColWidth="9" defaultRowHeight="16.8" outlineLevelRow="2" outlineLevelCol="6"/>
  <cols>
    <col min="2" max="2" width="18.9038461538462" customWidth="1"/>
    <col min="3" max="3" width="17.625" customWidth="1"/>
    <col min="5" max="5" width="37.3365384615385" customWidth="1"/>
    <col min="7" max="7" width="21.788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"1519972815738555"</f>
        <v>1519972815738555</v>
      </c>
      <c r="E2" t="str">
        <f>"7531382254859095359"</f>
        <v>7531382254859095359</v>
      </c>
      <c r="F2">
        <v>1</v>
      </c>
      <c r="G2" t="s">
        <v>10</v>
      </c>
    </row>
    <row r="3" spans="1:7">
      <c r="A3" t="s">
        <v>7</v>
      </c>
      <c r="B3" t="s">
        <v>11</v>
      </c>
      <c r="C3" t="s">
        <v>12</v>
      </c>
      <c r="D3" t="str">
        <f>"110232337931"</f>
        <v>110232337931</v>
      </c>
      <c r="E3" t="str">
        <f>"7530595900563262771"</f>
        <v>7530595900563262771</v>
      </c>
      <c r="F3">
        <v>1</v>
      </c>
      <c r="G3" t="s">
        <v>10</v>
      </c>
    </row>
  </sheetData>
  <autoFilter xmlns:etc="http://www.wps.cn/officeDocument/2017/etCustomData" ref="A1:F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A2pIQ/fdddDHpS2rRJ+pJUKIALCG3gHIw1MrI30qBbk=</dc:title>
  <dc:description>{"sensitive_fields": [], "sensitive_level": null, "platform": "Aeolus", "time": "2025-08-06 20:33:16", "operator": "heyunjian", "query_id_list": ["aeolus.vizQuery.heyunjian.app_10001.report_6165648.dataset_2595081.85670390-6a5d-435c-b4cc-5f5a1052b2a2.base-query._20250806_203311_YIAWYRHyeh.main_query_processed.small"], "download_line": 12, "download_module": "vizQuery", "file_name": "pick视频归因-2025-08-06 20-33-14.xlsx", "file_format": "xlsx", "file_encoding": "UTF-8", "table_name": ["aeolus_data_db_aeolus_dog_202506.aeolus_data_table_8_2077161_migrate_v1_prod"]}</dc:description>
  <cp:lastModifiedBy>Steven唔系我</cp:lastModifiedBy>
  <dcterms:created xsi:type="dcterms:W3CDTF">2025-08-07T04:33:00Z</dcterms:created>
  <dcterms:modified xsi:type="dcterms:W3CDTF">2025-08-07T16:19:40Z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60EA29A9AE412BCCB74B93686D9A5055_43</vt:lpwstr>
  </property>
  <property fmtid="{D5CDD505-2E9C-101B-9397-08002B2CF9AE}" pid="3" name="KSOProductBuildVer">
    <vt:lpwstr>2052-7.5.1.8994</vt:lpwstr>
  </property>
</Properties>
</file>