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360"/>
  </bookViews>
  <sheets>
    <sheet name="Sheet1" sheetId="1" r:id="rId1"/>
  </sheets>
  <definedNames>
    <definedName name="_xlnm._FilterDatabase" localSheetId="0" hidden="1">Sheet1!$A$1:$F$4</definedName>
  </definedNames>
  <calcPr calcId="144525"/>
</workbook>
</file>

<file path=xl/sharedStrings.xml><?xml version="1.0" encoding="utf-8"?>
<sst xmlns="http://schemas.openxmlformats.org/spreadsheetml/2006/main" count="19" uniqueCount="14">
  <si>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</si>
  <si>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</si>
  <si>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</si>
  <si>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</si>
  <si>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</si>
  <si>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</si>
  <si>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</si>
  <si>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2025-07-21</t>
  </si>
  <si>
    <t>2失活用户</t>
  </si>
  <si>
    <t>https://www.douyin.com/discover?modal_id=7527684051931680035</t>
  </si>
  <si>
    <t>剪映（模版拉新）</t>
  </si>
  <si>
    <t>https://www.douyin.com/discover?modal_id=7527183778735230254</t>
  </si>
  <si>
    <t>1新用户</t>
  </si>
  <si>
    <t>https://www.douyin.com/discover?modal_id=7528314947996519715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</si>
</sst>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30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26" borderId="7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27" sqref="D27"/>
    </sheetView>
  </sheetViews>
  <sheetFormatPr defaultColWidth="9" defaultRowHeight="16.8" outlineLevelRow="3" outlineLevelCol="6"/>
  <cols>
    <col min="3" max="3" width="63.6153846153846" customWidth="1"/>
    <col min="4" max="4" width="26.7596153846154" customWidth="1"/>
    <col min="5" max="5" width="32.6826923076923" customWidth="1"/>
    <col min="6" max="6" width="29.0096153846154" customWidth="1"/>
    <col min="7" max="7" width="36.538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"140390434866078"</f>
        <v>140390434866078</v>
      </c>
      <c r="E2" t="str">
        <f>"7527684051931680035"</f>
        <v>7527684051931680035</v>
      </c>
      <c r="F2">
        <v>1</v>
      </c>
      <c r="G2" s="1" t="s">
        <v>10</v>
      </c>
    </row>
    <row r="3" spans="1:7">
      <c r="A3" t="s">
        <v>7</v>
      </c>
      <c r="B3" t="s">
        <v>8</v>
      </c>
      <c r="C3" t="s">
        <v>11</v>
      </c>
      <c r="D3" t="str">
        <f>"4350141776790776"</f>
        <v>4350141776790776</v>
      </c>
      <c r="E3" t="str">
        <f>"7527183778735230254"</f>
        <v>7527183778735230254</v>
      </c>
      <c r="F3">
        <v>1</v>
      </c>
      <c r="G3" s="1" t="s">
        <v>10</v>
      </c>
    </row>
    <row r="4" spans="1:7">
      <c r="A4" t="s">
        <v>7</v>
      </c>
      <c r="B4" t="s">
        <v>12</v>
      </c>
      <c r="C4" t="s">
        <v>13</v>
      </c>
      <c r="D4" t="str">
        <f>"4099422111145214"</f>
        <v>4099422111145214</v>
      </c>
      <c r="E4" t="str">
        <f>"7528314947996519715"</f>
        <v>7528314947996519715</v>
      </c>
      <c r="F4">
        <v>1</v>
      </c>
      <c r="G4" s="1" t="s">
        <v>10</v>
      </c>
    </row>
  </sheetData>
  <autoFilter ref="A1:F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PXsBt1R5SVtWqHLg0D/wx/vyta3uCvImiRnH7a0VLsM=</dc:title>
  <dc:description>{"sensitive_fields": [], "sensitive_level": null, "platform": "Aeolus", "time": "2025-07-25 16:38:34", "operator": "heyunjian", "query_id_list": ["aeolus.vizQuery.heyunjian.app_10001.report_6165648.dataset_2595081.36749f88-bfb7-4b1a-ac8c-cf7d3c621d3c.base-query._20250725_163831_QZyAEuJpXJ.main_query_processed.small"], "download_line": 19, "download_module": "vizQuery", "file_name": "pick视频归因-2025-07-25 16-38-32.xlsx",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2025-07-26T00:38:00Z</dcterms:created>
  <dcterms:modified xsi:type="dcterms:W3CDTF">2025-07-28T16:55:41Z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C8A53F2931E6D403B442836825121AB5_43</vt:lpwstr>
  </property>
  <property fmtid="{D5CDD505-2E9C-101B-9397-08002B2CF9AE}" pid="3" name="KSOProductBuildVer">
    <vt:lpwstr>2052-4.2.2.6880</vt:lpwstr>
  </property>
</Properties>
</file>