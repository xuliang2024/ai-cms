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320"/>
  </bookViews>
  <sheets>
    <sheet name="Sheet1" sheetId="1" r:id="rId1"/>
  </sheets>
  <definedNames>
    <definedName name="_xlnm._FilterDatabase" localSheetId="0" hidden="1">Sheet1!$A$1:$G$3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<sst xmlns="http://schemas.openxmlformats.org/spreadsheetml/2006/main" count="15" uniqueCount="13">
  <si>
    <t>日期</t>
  </si>
  <si>
    <t>用户类型</t>
  </si>
  <si>
    <t>抖音视频url</t>
  </si>
  <si>
    <t>抖音UID</t>
  </si>
  <si>
    <t>GID</t>
  </si>
  <si>
    <t>pick_agent_name</t>
  </si>
  <si>
    <t>用户量级</t>
  </si>
  <si>
    <t>2025-06-19</t>
  </si>
  <si>
    <t>2失活用户</t>
  </si>
  <si>
    <t>https://www.douyin.com/discover?modal_id=7462308307470929163</t>
  </si>
  <si>
    <t>应势</t>
  </si>
  <si>
    <t>2025-06-18</t>
  </si>
  <si>
    <t>1新用户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</si>
</sst>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tabSelected="1" workbookViewId="0">
      <selection activeCell="H6" sqref="H6"/>
    </sheetView>
  </sheetViews>
  <sheetFormatPr defaultColWidth="9" defaultRowHeight="16.8" outlineLevelRow="2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tr">
        <f>"1106532065346266"</f>
        <v>1106532065346266</v>
      </c>
      <c r="E2" t="str">
        <f>"7462308307470929163"</f>
        <v>7462308307470929163</v>
      </c>
      <c r="F2" t="s">
        <v>10</v>
      </c>
      <c r="G2">
        <v>11</v>
      </c>
    </row>
    <row r="3" spans="1:7">
      <c r="A3" t="s">
        <v>11</v>
      </c>
      <c r="B3" t="s">
        <v>12</v>
      </c>
      <c r="C3" t="s">
        <v>9</v>
      </c>
      <c r="D3" t="str">
        <f>"1106532065346266"</f>
        <v>1106532065346266</v>
      </c>
      <c r="E3" t="str">
        <f>"7462308307470929163"</f>
        <v>7462308307470929163</v>
      </c>
      <c r="F3" t="s">
        <v>10</v>
      </c>
      <c r="G3">
        <v>7</v>
      </c>
    </row>
  </sheetData>
  <autoFilter ref="A1:G3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8uqfzDAMP5GHeoDWHb+XByo8bX+vDjUIq+BGC+SLNiA=</dc:title>
  <dc:description>{"sensitive_fields": [], "sensitive_level": null, "platform": "Aeolus", "time": "2025-06-20 15:51:10", "operator": "heyunjian", "query_id_list": ["aeolus.vizQuery.heyunjian.app_10001.report_6165648.dataset_2595081.a8ea66ec-340b-47cf-8a1f-9de5dff8c6de.base-query._20250620_155104_CSTDdbvbFH.main_query_processed.small"], "download_line": 91, "download_module": "vizQuery", "file_name": "pick视频归因-2025-06-20 15-51-07.xlsx", "file_format": "xlsx", "file_encoding": "UTF-8", "table_name": ["aeolus_data_db_aeolus_dog_202311.aeolus_data_table_8_2077161_prod"]}</dc:description>
  <cp:lastModifiedBy>云剑</cp:lastModifiedBy>
  <dcterms:created xsi:type="dcterms:W3CDTF">2025-06-20T23:51:00Z</dcterms:created>
  <dcterms:modified xsi:type="dcterms:W3CDTF">2025-06-23T11:49:32Z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786254185832A485CCCE586867E61A58_43</vt:lpwstr>
  </property>
  <property fmtid="{D5CDD505-2E9C-101B-9397-08002B2CF9AE}" pid="3" name="KSOProductBuildVer">
    <vt:lpwstr>2052-6.7.1.8828</vt:lpwstr>
  </property>
</Properties>
</file>