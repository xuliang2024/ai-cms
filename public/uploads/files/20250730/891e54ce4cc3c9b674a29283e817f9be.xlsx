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heet1" sheetId="1" r:id="rId1"/>
  </sheets>
  <definedNames>
    <definedName name="_xlnm._FilterDatabase" localSheetId="0" hidden="1">Sheet1!$A$1:$F$6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<sst xmlns="http://schemas.openxmlformats.org/spreadsheetml/2006/main" count="27" uniqueCount="17">
  <si>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日期</t>
  </si>
  <si>
    <t>用户类型</t>
  </si>
  <si>
    <t>抖音视频url</t>
  </si>
  <si>
    <t>抖音UID</t>
  </si>
  <si>
    <t>GID</t>
  </si>
  <si>
    <t>用户量级</t>
  </si>
  <si>
    <t>推广名字</t>
  </si>
  <si>
    <t>2025-07-27</t>
  </si>
  <si>
    <t>2失活用户</t>
  </si>
  <si>
    <t>https://www.douyin.com/discover?modal_id=7531300635314441531</t>
  </si>
  <si>
    <t>剪映（模版拉新）</t>
  </si>
  <si>
    <t>https://www.douyin.com/discover?modal_id=7531310233764990246</t>
  </si>
  <si>
    <t>2025-07-28</t>
  </si>
  <si>
    <t>https://www.douyin.com/discover?modal_id=7531187432424770857</t>
  </si>
  <si>
    <t>1新用户</t>
  </si>
  <si>
    <t>https://www.douyin.com/discover?modal_id=7530514933448985856</t>
  </si>
  <si>
    <t>https://www.douyin.com/discover?modal_id=7527439544552918329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</si>
</sst>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2" sqref="G2:G6"/>
    </sheetView>
  </sheetViews>
  <sheetFormatPr defaultColWidth="9" defaultRowHeight="16.8" outlineLevelRow="5" outlineLevelCol="6"/>
  <cols>
    <col min="5" max="5" width="30.4423076923077" customWidth="1"/>
    <col min="6" max="6" width="26.4423076923077" customWidth="1"/>
    <col min="7" max="7" width="16.817307692307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"103342916314"</f>
        <v>103342916314</v>
      </c>
      <c r="E2" t="str">
        <f>"7531300635314441531"</f>
        <v>7531300635314441531</v>
      </c>
      <c r="F2">
        <v>1</v>
      </c>
      <c r="G2" t="s">
        <v>10</v>
      </c>
    </row>
    <row r="3" spans="1:7">
      <c r="A3" t="s">
        <v>7</v>
      </c>
      <c r="B3" t="s">
        <v>8</v>
      </c>
      <c r="C3" t="s">
        <v>11</v>
      </c>
      <c r="D3" t="str">
        <f>"7528728642782315579"</f>
        <v>7528728642782315579</v>
      </c>
      <c r="E3" t="str">
        <f>"7531310233764990246"</f>
        <v>7531310233764990246</v>
      </c>
      <c r="F3">
        <v>1</v>
      </c>
      <c r="G3" t="s">
        <v>10</v>
      </c>
    </row>
    <row r="4" spans="1:7">
      <c r="A4" t="s">
        <v>12</v>
      </c>
      <c r="B4" t="s">
        <v>8</v>
      </c>
      <c r="C4" t="s">
        <v>13</v>
      </c>
      <c r="D4" t="str">
        <f>"93532877165"</f>
        <v>93532877165</v>
      </c>
      <c r="E4" t="str">
        <f>"7531187432424770857"</f>
        <v>7531187432424770857</v>
      </c>
      <c r="F4">
        <v>1</v>
      </c>
      <c r="G4" t="s">
        <v>10</v>
      </c>
    </row>
    <row r="5" spans="1:7">
      <c r="A5" t="s">
        <v>7</v>
      </c>
      <c r="B5" t="s">
        <v>14</v>
      </c>
      <c r="C5" t="s">
        <v>15</v>
      </c>
      <c r="D5" t="str">
        <f>"1766292129586720"</f>
        <v>1766292129586720</v>
      </c>
      <c r="E5" t="str">
        <f>"7530514933448985856"</f>
        <v>7530514933448985856</v>
      </c>
      <c r="F5">
        <v>1</v>
      </c>
      <c r="G5" t="s">
        <v>10</v>
      </c>
    </row>
    <row r="6" spans="1:7">
      <c r="A6" t="s">
        <v>12</v>
      </c>
      <c r="B6" t="s">
        <v>8</v>
      </c>
      <c r="C6" t="s">
        <v>16</v>
      </c>
      <c r="D6" t="str">
        <f>"2900991888594768"</f>
        <v>2900991888594768</v>
      </c>
      <c r="E6" t="str">
        <f>"7527439544552918329"</f>
        <v>7527439544552918329</v>
      </c>
      <c r="F6">
        <v>1</v>
      </c>
      <c r="G6" t="s">
        <v>10</v>
      </c>
    </row>
  </sheetData>
  <autoFilter xmlns:etc="http://www.wps.cn/officeDocument/2017/etCustomData" ref="A1:F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EDZYakgX0F097qLEshatXMV5Hz4IODJ9S2S6s5fLUhg=</dc:title>
  <dc:description>{"sensitive_fields": [], "sensitive_level": null, "platform": "Aeolus", "time": "2025-07-30 20:05:27", "operator": "heyunjian", "query_id_list": ["aeolus.vizQuery.heyunjian.app_10001.report_6165648.dataset_2595081.dbcbeb27-0e77-4d9c-9fb2-2bf160337a3c.base-query._20250730_200522_cLARbQxbsg.main_query_processed.small"], "download_line": 9, "download_module": "vizQuery", "file_name": "pick视频归因-2025-07-30 20-05-24.xlsx", "file_format": "xlsx", "file_encoding": "UTF-8", "table_name": ["aeolus_data_db_aeolus_dog_202506.aeolus_data_table_8_2077161_migrate_v1_prod"]}</dc:description>
  <cp:lastModifiedBy>Steven唔系我</cp:lastModifiedBy>
  <dcterms:created xsi:type="dcterms:W3CDTF">2025-07-31T04:05:00Z</dcterms:created>
  <dcterms:modified xsi:type="dcterms:W3CDTF">2025-07-30T20:27:49Z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B76B3EA40FBC211FAD0A8A685D457121_43</vt:lpwstr>
  </property>
  <property fmtid="{D5CDD505-2E9C-101B-9397-08002B2CF9AE}" pid="3" name="KSOProductBuildVer">
    <vt:lpwstr>2052-7.5.1.8994</vt:lpwstr>
  </property>
</Properties>
</file>