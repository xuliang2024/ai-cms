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0"/>
  </bookViews>
  <sheets>
    <sheet name="Sheet1" sheetId="1" r:id="rId1"/>
  </sheets>
  <definedNames>
    <definedName name="_xlnm._FilterDatabase" localSheetId="0" hidden="1">Sheet1!$A$1:$F$4</definedName>
  </definedNames>
  <calcPr calcId="144525"/>
</workbook>
</file>

<file path=xl/sharedStrings.xml><?xml version="1.0" encoding="utf-8"?>
<sst xmlns="http://schemas.openxmlformats.org/spreadsheetml/2006/main" count="22" uniqueCount="16">
  <si>
    <t>日期</t>
  </si>
  <si>
    <t>用户类型</t>
  </si>
  <si>
    <t>抖音视频url</t>
  </si>
  <si>
    <t>抖音UID</t>
  </si>
  <si>
    <t>GID</t>
  </si>
  <si>
    <t>用户量级</t>
  </si>
  <si>
    <t>锚点类型</t>
  </si>
  <si>
    <t>2025-07-16</t>
  </si>
  <si>
    <t>1新用户</t>
  </si>
  <si>
    <t>https://www.douyin.com/discover?modal_id=7527303931354123529</t>
  </si>
  <si>
    <t>2214835050789923</t>
  </si>
  <si>
    <t>剪映（模版拉新）</t>
  </si>
  <si>
    <t>2失活用户</t>
  </si>
  <si>
    <t>https://www.douyin.com/discover?modal_id=7527139438071680271</t>
  </si>
  <si>
    <t>2025-07-15</t>
  </si>
  <si>
    <t>https://www.douyin.com/discover?modal_id=7526340659775638843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</si>
</sst>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646464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27" borderId="7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  <xf numFmtId="0" fontId="0" fillId="0" borderId="0" xfId="0" quotePrefix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G1" sqref="G1:G4"/>
    </sheetView>
  </sheetViews>
  <sheetFormatPr defaultColWidth="9" defaultRowHeight="16.8" outlineLevelRow="3" outlineLevelCol="6"/>
  <cols>
    <col min="1" max="1" width="35.8942307692308" customWidth="1"/>
    <col min="2" max="2" width="39.1057692307692" customWidth="1"/>
    <col min="3" max="3" width="37.0192307692308" customWidth="1"/>
    <col min="4" max="4" width="21.7980769230769" customWidth="1"/>
    <col min="5" max="5" width="54.971153846153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2" t="s">
        <v>10</v>
      </c>
      <c r="E2" t="str">
        <f>"42779548110196025111"</f>
        <v>42779548110196025111</v>
      </c>
      <c r="F2">
        <v>10</v>
      </c>
      <c r="G2" s="1" t="s">
        <v>11</v>
      </c>
    </row>
    <row r="3" spans="1:7">
      <c r="A3" t="s">
        <v>7</v>
      </c>
      <c r="B3" t="s">
        <v>12</v>
      </c>
      <c r="C3" t="s">
        <v>13</v>
      </c>
      <c r="D3" s="2" t="s">
        <v>10</v>
      </c>
      <c r="E3" t="str">
        <f>"42779548110196025111"</f>
        <v>42779548110196025111</v>
      </c>
      <c r="F3">
        <v>10</v>
      </c>
      <c r="G3" s="1" t="s">
        <v>11</v>
      </c>
    </row>
    <row r="4" spans="1:7">
      <c r="A4" t="s">
        <v>14</v>
      </c>
      <c r="B4" t="s">
        <v>8</v>
      </c>
      <c r="C4" t="s">
        <v>15</v>
      </c>
      <c r="D4" s="2" t="s">
        <v>10</v>
      </c>
      <c r="E4" t="str">
        <f>"42779548110196025111"</f>
        <v>42779548110196025111</v>
      </c>
      <c r="F4">
        <v>10</v>
      </c>
      <c r="G4" s="1" t="s">
        <v>11</v>
      </c>
    </row>
  </sheetData>
  <autoFilter ref="A1:F4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zG9GBDwuyRU/L/SoAHnML3/EuLRDzoivTr0JAsNSCPM=</dc:title>
  <dc:description>{"sensitive_fields": [], "sensitive_level": null, "platform": "Aeolus", "time": "2025-07-18 17:07:10", "operator": "heyunjian", "query_id_list": ["aeolus.vizQuery.heyunjian.app_10001.report_6165648.dataset_2595081.b9c18cd4-762f-45a6-b566-1da473da7923.base-query._20250718_170615_IQDphpTcMF.main_query_processed.small"], "download_line": 24, "download_module": "vizQuery", "file_name": "pick视频归因-2025-07-18 17-07-08.xlsx", "file_format": "xlsx", "file_encoding": "UTF-8", "table_name": ["aeolus_data_db_aeolus_dog_202506.aeolus_data_table_8_2077161_migrate_v1_prod"]}</dc:description>
  <cp:lastModifiedBy>我爱大熊猫</cp:lastModifiedBy>
  <dcterms:created xsi:type="dcterms:W3CDTF">2025-07-19T09:07:00Z</dcterms:created>
  <dcterms:modified xsi:type="dcterms:W3CDTF">2025-07-22T11:45:01Z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2052-4.2.2.6880</vt:lpwstr>
  </property>
  <property fmtid="{D5CDD505-2E9C-101B-9397-08002B2CF9AE}" pid="3" name="ICV">
    <vt:lpwstr>14BAB5D08CDB88A006107A6853F2E8B0_43</vt:lpwstr>
  </property>
</Properties>
</file>