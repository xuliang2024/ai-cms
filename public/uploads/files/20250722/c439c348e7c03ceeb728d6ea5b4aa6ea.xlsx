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360"/>
  </bookViews>
  <sheets>
    <sheet name="Sheet1" sheetId="1" r:id="rId1"/>
  </sheets>
  <definedNames>
    <definedName name="_xlnm._FilterDatabase" localSheetId="0" hidden="1">Sheet1!$A$1:$F$12</definedName>
  </definedNames>
  <calcPr calcId="144525"/>
</workbook>
</file>

<file path=xl/sharedStrings.xml><?xml version="1.0" encoding="utf-8"?>
<sst xmlns="http://schemas.openxmlformats.org/spreadsheetml/2006/main" count="67" uniqueCount="29">
  <si>
    <t>日期</t>
  </si>
  <si>
    <t>用户类型</t>
  </si>
  <si>
    <t>抖音视频url</t>
  </si>
  <si>
    <t>抖音UID</t>
  </si>
  <si>
    <t>GID</t>
  </si>
  <si>
    <t>用户量级</t>
  </si>
  <si>
    <t>锚点类型</t>
  </si>
  <si>
    <t>2025-07-15</t>
  </si>
  <si>
    <t>2失活用户</t>
  </si>
  <si>
    <t>https://www.douyin.com/discover?modal_id=7527107972251847962</t>
  </si>
  <si>
    <t>剪映（模版拉新）</t>
  </si>
  <si>
    <t>2025-07-16</t>
  </si>
  <si>
    <t>https://www.douyin.com/discover?modal_id=7527483040240815406</t>
  </si>
  <si>
    <t>https://www.douyin.com/discover?modal_id=7527207116903042342</t>
  </si>
  <si>
    <t>1新用户</t>
  </si>
  <si>
    <t>https://www.douyin.com/discover?modal_id=7527303931354123529</t>
  </si>
  <si>
    <t>https://www.douyin.com/discover?modal_id=7527139438071680271</t>
  </si>
  <si>
    <t>https://www.douyin.com/discover?modal_id=7526340659775638843</t>
  </si>
  <si>
    <t>https://www.douyin.com/discover?modal_id=7526171972053781817</t>
  </si>
  <si>
    <t>https://www.douyin.com/discover?modal_id=7517482568749468968</t>
  </si>
  <si>
    <t>https://www.douyin.com/discover?modal_id=7527230013285125414</t>
  </si>
  <si>
    <t>https://www.douyin.com/discover?modal_id=7527320783606451519</t>
  </si>
  <si>
    <t>2025-07-18</t>
  </si>
  <si>
    <t>https://www.douyin.com/discover?modal_id=7527972088059252026</t>
  </si>
  <si>
    <t>2025-07-19</t>
  </si>
  <si>
    <t>https://www.douyin.com/discover?modal_id=7528600202383740170</t>
  </si>
  <si>
    <t>2025-07-17</t>
  </si>
  <si>
    <t>https://www.douyin.com/discover?modal_id=7527887010615528754</t>
  </si>
  <si>
    <t>https://www.douyin.com/discover?modal_id=7525471491812855083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</si>
</sst>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0.5"/>
      <color rgb="FF646464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4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6" fillId="27" borderId="6" applyNumberForma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7" fillId="28" borderId="8" applyNumberFormat="0" applyAlignment="0" applyProtection="0">
      <alignment vertical="center"/>
    </xf>
    <xf numFmtId="0" fontId="10" fillId="7" borderId="4" applyNumberFormat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I9" sqref="I9"/>
    </sheetView>
  </sheetViews>
  <sheetFormatPr defaultColWidth="9" defaultRowHeight="16.8" outlineLevelCol="6"/>
  <cols>
    <col min="3" max="3" width="14.9038461538462" customWidth="1"/>
    <col min="4" max="4" width="21.7980769230769" customWidth="1"/>
    <col min="7" max="7" width="41.182692307692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tr">
        <f>"1423247066538828"</f>
        <v>1423247066538828</v>
      </c>
      <c r="E2" t="str">
        <f>"7527107972251847962"</f>
        <v>7527107972251847962</v>
      </c>
      <c r="F2">
        <v>2</v>
      </c>
      <c r="G2" s="1" t="s">
        <v>10</v>
      </c>
    </row>
    <row r="3" spans="1:7">
      <c r="A3" t="s">
        <v>11</v>
      </c>
      <c r="B3" t="s">
        <v>8</v>
      </c>
      <c r="C3" t="s">
        <v>12</v>
      </c>
      <c r="D3" t="str">
        <f>"1423247066538828"</f>
        <v>1423247066538828</v>
      </c>
      <c r="E3" t="str">
        <f>"7527483040240815406"</f>
        <v>7527483040240815406</v>
      </c>
      <c r="F3">
        <v>2</v>
      </c>
      <c r="G3" s="1" t="s">
        <v>10</v>
      </c>
    </row>
    <row r="4" spans="1:7">
      <c r="A4" t="s">
        <v>11</v>
      </c>
      <c r="B4" t="s">
        <v>8</v>
      </c>
      <c r="C4" t="s">
        <v>13</v>
      </c>
      <c r="D4" t="str">
        <f>"810763975918394"</f>
        <v>810763975918394</v>
      </c>
      <c r="E4" t="str">
        <f>"7527207116903042342"</f>
        <v>7527207116903042342</v>
      </c>
      <c r="F4">
        <v>1</v>
      </c>
      <c r="G4" s="1" t="s">
        <v>10</v>
      </c>
    </row>
    <row r="5" spans="1:7">
      <c r="A5" t="s">
        <v>11</v>
      </c>
      <c r="B5" t="s">
        <v>14</v>
      </c>
      <c r="C5" t="s">
        <v>15</v>
      </c>
      <c r="D5" t="str">
        <f>"810763975918394"</f>
        <v>810763975918394</v>
      </c>
      <c r="E5" t="str">
        <f>"7527303931354123529"</f>
        <v>7527303931354123529</v>
      </c>
      <c r="F5">
        <v>1</v>
      </c>
      <c r="G5" s="1" t="s">
        <v>10</v>
      </c>
    </row>
    <row r="6" spans="1:7">
      <c r="A6" t="s">
        <v>11</v>
      </c>
      <c r="B6" t="s">
        <v>8</v>
      </c>
      <c r="C6" t="s">
        <v>16</v>
      </c>
      <c r="D6" t="str">
        <f>"1766292129586720"</f>
        <v>1766292129586720</v>
      </c>
      <c r="E6" t="str">
        <f>"7527139438071680271"</f>
        <v>7527139438071680271</v>
      </c>
      <c r="F6">
        <v>1</v>
      </c>
      <c r="G6" s="1" t="s">
        <v>10</v>
      </c>
    </row>
    <row r="7" spans="1:7">
      <c r="A7" t="s">
        <v>7</v>
      </c>
      <c r="B7" t="s">
        <v>14</v>
      </c>
      <c r="C7" t="s">
        <v>17</v>
      </c>
      <c r="D7" t="str">
        <f>"2900991888594768"</f>
        <v>2900991888594768</v>
      </c>
      <c r="E7" t="str">
        <f>"7526340659775638843"</f>
        <v>7526340659775638843</v>
      </c>
      <c r="F7">
        <v>1</v>
      </c>
      <c r="G7" s="1" t="s">
        <v>10</v>
      </c>
    </row>
    <row r="8" spans="1:7">
      <c r="A8" t="s">
        <v>7</v>
      </c>
      <c r="B8" t="s">
        <v>14</v>
      </c>
      <c r="C8" t="s">
        <v>18</v>
      </c>
      <c r="D8" t="str">
        <f>"4358054014618158"</f>
        <v>4358054014618158</v>
      </c>
      <c r="E8" t="str">
        <f>"7526171972053781817"</f>
        <v>7526171972053781817</v>
      </c>
      <c r="F8">
        <v>1</v>
      </c>
      <c r="G8" s="1" t="s">
        <v>10</v>
      </c>
    </row>
    <row r="9" spans="1:7">
      <c r="A9" t="s">
        <v>7</v>
      </c>
      <c r="B9" t="s">
        <v>14</v>
      </c>
      <c r="C9" t="s">
        <v>9</v>
      </c>
      <c r="D9" t="str">
        <f>"1423247066538828"</f>
        <v>1423247066538828</v>
      </c>
      <c r="E9" t="str">
        <f>"7527107972251847962"</f>
        <v>7527107972251847962</v>
      </c>
      <c r="F9">
        <v>1</v>
      </c>
      <c r="G9" s="1" t="s">
        <v>10</v>
      </c>
    </row>
    <row r="10" spans="1:7">
      <c r="A10" t="s">
        <v>11</v>
      </c>
      <c r="B10" t="s">
        <v>8</v>
      </c>
      <c r="C10" t="s">
        <v>19</v>
      </c>
      <c r="D10" t="str">
        <f>"104299215877"</f>
        <v>104299215877</v>
      </c>
      <c r="E10" t="str">
        <f>"7517482568749468968"</f>
        <v>7517482568749468968</v>
      </c>
      <c r="F10">
        <v>1</v>
      </c>
      <c r="G10" s="1" t="s">
        <v>10</v>
      </c>
    </row>
    <row r="11" spans="1:7">
      <c r="A11" t="s">
        <v>7</v>
      </c>
      <c r="B11" t="s">
        <v>8</v>
      </c>
      <c r="C11" t="s">
        <v>20</v>
      </c>
      <c r="D11" t="str">
        <f>"7492829094485673017"</f>
        <v>7492829094485673017</v>
      </c>
      <c r="E11" t="str">
        <f>"7527230013285125414"</f>
        <v>7527230013285125414</v>
      </c>
      <c r="F11">
        <v>1</v>
      </c>
      <c r="G11" s="1" t="s">
        <v>10</v>
      </c>
    </row>
    <row r="12" spans="1:7">
      <c r="A12" t="s">
        <v>11</v>
      </c>
      <c r="B12" t="s">
        <v>8</v>
      </c>
      <c r="C12" t="s">
        <v>21</v>
      </c>
      <c r="D12" t="str">
        <f>"3039497096794893"</f>
        <v>3039497096794893</v>
      </c>
      <c r="E12" t="str">
        <f>"7527320783606451519"</f>
        <v>7527320783606451519</v>
      </c>
      <c r="F12">
        <v>1</v>
      </c>
      <c r="G12" s="1" t="s">
        <v>10</v>
      </c>
    </row>
    <row r="13" spans="1:7">
      <c r="A13" t="s">
        <v>22</v>
      </c>
      <c r="B13" t="s">
        <v>8</v>
      </c>
      <c r="C13" t="s">
        <v>23</v>
      </c>
      <c r="D13" t="str">
        <f>"94005997511"</f>
        <v>94005997511</v>
      </c>
      <c r="E13" t="str">
        <f>"7527972088059252026"</f>
        <v>7527972088059252026</v>
      </c>
      <c r="F13">
        <v>2</v>
      </c>
      <c r="G13" s="1" t="s">
        <v>10</v>
      </c>
    </row>
    <row r="14" spans="1:7">
      <c r="A14" t="s">
        <v>24</v>
      </c>
      <c r="B14" t="s">
        <v>8</v>
      </c>
      <c r="C14" t="s">
        <v>25</v>
      </c>
      <c r="D14" t="str">
        <f>"810763975918394"</f>
        <v>810763975918394</v>
      </c>
      <c r="E14" t="str">
        <f>"7528600202383740170"</f>
        <v>7528600202383740170</v>
      </c>
      <c r="F14">
        <v>1</v>
      </c>
      <c r="G14" s="1" t="s">
        <v>10</v>
      </c>
    </row>
    <row r="15" spans="1:7">
      <c r="A15" t="s">
        <v>26</v>
      </c>
      <c r="B15" t="s">
        <v>8</v>
      </c>
      <c r="C15" t="s">
        <v>27</v>
      </c>
      <c r="D15" t="str">
        <f>"810763975918394"</f>
        <v>810763975918394</v>
      </c>
      <c r="E15" t="str">
        <f>"7527887010615528754"</f>
        <v>7527887010615528754</v>
      </c>
      <c r="F15">
        <v>1</v>
      </c>
      <c r="G15" s="1" t="s">
        <v>10</v>
      </c>
    </row>
    <row r="16" spans="1:7">
      <c r="A16" t="s">
        <v>24</v>
      </c>
      <c r="B16" t="s">
        <v>8</v>
      </c>
      <c r="C16" t="s">
        <v>28</v>
      </c>
      <c r="D16" t="str">
        <f>"2084278934972312"</f>
        <v>2084278934972312</v>
      </c>
      <c r="E16" t="str">
        <f>"7525471491812855083"</f>
        <v>7525471491812855083</v>
      </c>
      <c r="F16">
        <v>1</v>
      </c>
      <c r="G16" s="1" t="s">
        <v>10</v>
      </c>
    </row>
  </sheetData>
  <autoFilter ref="A1:F12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zG9GBDwuyRU/L/SoAHnML3/EuLRDzoivTr0JAsNSCPM=</dc:title>
  <dc:description>{"sensitive_fields": [], "sensitive_level": null, "platform": "Aeolus", "time": "2025-07-18 17:07:10", "operator": "heyunjian", "query_id_list": ["aeolus.vizQuery.heyunjian.app_10001.report_6165648.dataset_2595081.b9c18cd4-762f-45a6-b566-1da473da7923.base-query._20250718_170615_IQDphpTcMF.main_query_processed.small"], "download_line": 24, "download_module": "vizQuery", "file_name": "pick视频归因-2025-07-18 17-07-08.xlsx", "file_format": "xlsx", "file_encoding": "UTF-8", "table_name": ["aeolus_data_db_aeolus_dog_202506.aeolus_data_table_8_2077161_migrate_v1_prod"]}</dc:description>
  <cp:lastModifiedBy>我爱大熊猫</cp:lastModifiedBy>
  <dcterms:created xsi:type="dcterms:W3CDTF">2025-07-19T01:07:00Z</dcterms:created>
  <dcterms:modified xsi:type="dcterms:W3CDTF">2025-07-22T20:10:12Z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2052-4.2.2.6880</vt:lpwstr>
  </property>
  <property fmtid="{D5CDD505-2E9C-101B-9397-08002B2CF9AE}" pid="3" name="ICV">
    <vt:lpwstr>14BAB5D08CDB88A006107A6853F2E8B0_43</vt:lpwstr>
  </property>
</Properties>
</file>