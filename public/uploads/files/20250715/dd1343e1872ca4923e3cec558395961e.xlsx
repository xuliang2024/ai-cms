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Sheet1!$A$1:$F$24</definedName>
  </definedNames>
  <calcPr calcId="144525"/>
</workbook>
</file>

<file path=xl/sharedStrings.xml><?xml version="1.0" encoding="utf-8"?>
<sst xmlns="http://schemas.openxmlformats.org/spreadsheetml/2006/main" count="99" uniqueCount="23">
  <si>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</si>
  <si>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</si>
  <si>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</si>
  <si>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</si>
  <si>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</si>
  <si>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</si>
  <si>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</si>
  <si>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2025-07-04</t>
  </si>
  <si>
    <t>2失活用户</t>
  </si>
  <si>
    <t>https://www.douyin.com/discover?modal_id=7517895205350395170</t>
  </si>
  <si>
    <t>剪映（模版拉新）</t>
  </si>
  <si>
    <t>2025-07-02</t>
  </si>
  <si>
    <t>2025-07-11</t>
  </si>
  <si>
    <t>2025-07-12</t>
  </si>
  <si>
    <t>2025-07-05</t>
  </si>
  <si>
    <t>2025-07-03</t>
  </si>
  <si>
    <t>2025-07-10</t>
  </si>
  <si>
    <t>2025-07-07</t>
  </si>
  <si>
    <t>2025-07-06</t>
  </si>
  <si>
    <t>2025-07-09</t>
  </si>
  <si>
    <t>1新用户</t>
  </si>
  <si>
    <t>2025-07-08</t>
  </si>
  <si>
    <t>https://www.douyin.com/discover?modal_id=7526065704807484698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</si>
</sst>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64646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30" borderId="5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41" applyFont="1" applyAlignment="1"/>
    <xf numFmtId="0" fontId="2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discover?modal_id=7517895205350395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D24" sqref="D24"/>
    </sheetView>
  </sheetViews>
  <sheetFormatPr defaultColWidth="9" defaultRowHeight="16.8" outlineLevelCol="6"/>
  <cols>
    <col min="1" max="1" width="20.1923076923077" customWidth="1"/>
    <col min="2" max="2" width="24.0288461538462" customWidth="1"/>
    <col min="3" max="3" width="38.2980769230769" customWidth="1"/>
    <col min="4" max="4" width="28.3653846153846" customWidth="1"/>
    <col min="5" max="5" width="36.8557692307692" customWidth="1"/>
    <col min="6" max="6" width="19.3846153846154" customWidth="1"/>
    <col min="7" max="7" width="26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>
        <v>62866407070</v>
      </c>
      <c r="E2" t="str">
        <f t="shared" ref="E2:E28" si="0">"7517895205350395170"</f>
        <v>7517895205350395170</v>
      </c>
      <c r="F2">
        <v>379</v>
      </c>
      <c r="G2" s="2" t="s">
        <v>10</v>
      </c>
    </row>
    <row r="3" spans="1:7">
      <c r="A3" t="s">
        <v>11</v>
      </c>
      <c r="B3" t="s">
        <v>8</v>
      </c>
      <c r="C3" t="s">
        <v>9</v>
      </c>
      <c r="D3">
        <v>62866407070</v>
      </c>
      <c r="E3" t="str">
        <f t="shared" si="0"/>
        <v>7517895205350395170</v>
      </c>
      <c r="F3">
        <v>337</v>
      </c>
      <c r="G3" s="2" t="s">
        <v>10</v>
      </c>
    </row>
    <row r="4" spans="1:7">
      <c r="A4" t="s">
        <v>12</v>
      </c>
      <c r="B4" t="s">
        <v>8</v>
      </c>
      <c r="C4" t="s">
        <v>9</v>
      </c>
      <c r="D4">
        <v>62866407070</v>
      </c>
      <c r="E4" t="str">
        <f t="shared" si="0"/>
        <v>7517895205350395170</v>
      </c>
      <c r="F4">
        <v>311</v>
      </c>
      <c r="G4" s="2" t="s">
        <v>10</v>
      </c>
    </row>
    <row r="5" spans="1:7">
      <c r="A5" t="s">
        <v>13</v>
      </c>
      <c r="B5" t="s">
        <v>8</v>
      </c>
      <c r="C5" t="s">
        <v>9</v>
      </c>
      <c r="D5">
        <v>62866407070</v>
      </c>
      <c r="E5" t="str">
        <f t="shared" si="0"/>
        <v>7517895205350395170</v>
      </c>
      <c r="F5">
        <v>249</v>
      </c>
      <c r="G5" s="2" t="s">
        <v>10</v>
      </c>
    </row>
    <row r="6" spans="1:7">
      <c r="A6" t="s">
        <v>14</v>
      </c>
      <c r="B6" t="s">
        <v>8</v>
      </c>
      <c r="C6" t="s">
        <v>9</v>
      </c>
      <c r="D6">
        <v>62866407070</v>
      </c>
      <c r="E6" t="str">
        <f t="shared" si="0"/>
        <v>7517895205350395170</v>
      </c>
      <c r="F6">
        <v>228</v>
      </c>
      <c r="G6" s="2" t="s">
        <v>10</v>
      </c>
    </row>
    <row r="7" spans="1:7">
      <c r="A7" t="s">
        <v>15</v>
      </c>
      <c r="B7" t="s">
        <v>8</v>
      </c>
      <c r="C7" t="s">
        <v>9</v>
      </c>
      <c r="D7">
        <v>62866407070</v>
      </c>
      <c r="E7" t="str">
        <f t="shared" si="0"/>
        <v>7517895205350395170</v>
      </c>
      <c r="F7">
        <v>204</v>
      </c>
      <c r="G7" s="2" t="s">
        <v>10</v>
      </c>
    </row>
    <row r="8" spans="1:7">
      <c r="A8" t="s">
        <v>16</v>
      </c>
      <c r="B8" t="s">
        <v>8</v>
      </c>
      <c r="C8" t="s">
        <v>9</v>
      </c>
      <c r="D8">
        <v>62866407070</v>
      </c>
      <c r="E8" t="str">
        <f t="shared" si="0"/>
        <v>7517895205350395170</v>
      </c>
      <c r="F8">
        <v>195</v>
      </c>
      <c r="G8" s="2" t="s">
        <v>10</v>
      </c>
    </row>
    <row r="9" spans="1:7">
      <c r="A9" t="s">
        <v>17</v>
      </c>
      <c r="B9" t="s">
        <v>8</v>
      </c>
      <c r="C9" t="s">
        <v>9</v>
      </c>
      <c r="D9">
        <v>62866407070</v>
      </c>
      <c r="E9" t="str">
        <f t="shared" si="0"/>
        <v>7517895205350395170</v>
      </c>
      <c r="F9">
        <v>168</v>
      </c>
      <c r="G9" s="2" t="s">
        <v>10</v>
      </c>
    </row>
    <row r="10" spans="1:7">
      <c r="A10" t="s">
        <v>18</v>
      </c>
      <c r="B10" t="s">
        <v>8</v>
      </c>
      <c r="C10" t="s">
        <v>9</v>
      </c>
      <c r="D10">
        <v>62866407070</v>
      </c>
      <c r="E10" t="str">
        <f t="shared" si="0"/>
        <v>7517895205350395170</v>
      </c>
      <c r="F10">
        <v>122</v>
      </c>
      <c r="G10" s="2" t="s">
        <v>10</v>
      </c>
    </row>
    <row r="11" spans="1:7">
      <c r="A11" t="s">
        <v>19</v>
      </c>
      <c r="B11" t="s">
        <v>8</v>
      </c>
      <c r="C11" t="s">
        <v>9</v>
      </c>
      <c r="D11">
        <v>62866407070</v>
      </c>
      <c r="E11" t="str">
        <f t="shared" si="0"/>
        <v>7517895205350395170</v>
      </c>
      <c r="F11">
        <v>119</v>
      </c>
      <c r="G11" s="2" t="s">
        <v>10</v>
      </c>
    </row>
    <row r="12" spans="1:7">
      <c r="A12" t="s">
        <v>7</v>
      </c>
      <c r="B12" t="s">
        <v>20</v>
      </c>
      <c r="C12" t="s">
        <v>9</v>
      </c>
      <c r="D12">
        <v>62866407070</v>
      </c>
      <c r="E12" t="str">
        <f t="shared" si="0"/>
        <v>7517895205350395170</v>
      </c>
      <c r="F12">
        <v>78</v>
      </c>
      <c r="G12" s="2" t="s">
        <v>10</v>
      </c>
    </row>
    <row r="13" spans="1:7">
      <c r="A13" t="s">
        <v>21</v>
      </c>
      <c r="B13" t="s">
        <v>8</v>
      </c>
      <c r="C13" t="s">
        <v>9</v>
      </c>
      <c r="D13">
        <v>62866407070</v>
      </c>
      <c r="E13" t="str">
        <f t="shared" si="0"/>
        <v>7517895205350395170</v>
      </c>
      <c r="F13">
        <v>75</v>
      </c>
      <c r="G13" s="2" t="s">
        <v>10</v>
      </c>
    </row>
    <row r="14" spans="1:7">
      <c r="A14" t="s">
        <v>12</v>
      </c>
      <c r="B14" t="s">
        <v>20</v>
      </c>
      <c r="C14" t="s">
        <v>9</v>
      </c>
      <c r="D14">
        <v>62866407070</v>
      </c>
      <c r="E14" t="str">
        <f t="shared" si="0"/>
        <v>7517895205350395170</v>
      </c>
      <c r="F14">
        <v>66</v>
      </c>
      <c r="G14" s="2" t="s">
        <v>10</v>
      </c>
    </row>
    <row r="15" spans="1:7">
      <c r="A15" t="s">
        <v>15</v>
      </c>
      <c r="B15" t="s">
        <v>20</v>
      </c>
      <c r="C15" t="s">
        <v>9</v>
      </c>
      <c r="D15">
        <v>62866407070</v>
      </c>
      <c r="E15" t="str">
        <f t="shared" si="0"/>
        <v>7517895205350395170</v>
      </c>
      <c r="F15">
        <v>62</v>
      </c>
      <c r="G15" s="2" t="s">
        <v>10</v>
      </c>
    </row>
    <row r="16" spans="1:7">
      <c r="A16" t="s">
        <v>11</v>
      </c>
      <c r="B16" t="s">
        <v>20</v>
      </c>
      <c r="C16" t="s">
        <v>9</v>
      </c>
      <c r="D16">
        <v>62866407070</v>
      </c>
      <c r="E16" t="str">
        <f t="shared" si="0"/>
        <v>7517895205350395170</v>
      </c>
      <c r="F16">
        <v>57</v>
      </c>
      <c r="G16" s="2" t="s">
        <v>10</v>
      </c>
    </row>
    <row r="17" spans="1:7">
      <c r="A17" t="s">
        <v>14</v>
      </c>
      <c r="B17" t="s">
        <v>20</v>
      </c>
      <c r="C17" t="s">
        <v>9</v>
      </c>
      <c r="D17">
        <v>62866407070</v>
      </c>
      <c r="E17" t="str">
        <f t="shared" si="0"/>
        <v>7517895205350395170</v>
      </c>
      <c r="F17">
        <v>57</v>
      </c>
      <c r="G17" s="2" t="s">
        <v>10</v>
      </c>
    </row>
    <row r="18" spans="1:7">
      <c r="A18" t="s">
        <v>13</v>
      </c>
      <c r="B18" t="s">
        <v>20</v>
      </c>
      <c r="C18" t="s">
        <v>9</v>
      </c>
      <c r="D18">
        <v>62866407070</v>
      </c>
      <c r="E18" t="str">
        <f t="shared" si="0"/>
        <v>7517895205350395170</v>
      </c>
      <c r="F18">
        <v>53</v>
      </c>
      <c r="G18" s="2" t="s">
        <v>10</v>
      </c>
    </row>
    <row r="19" spans="1:7">
      <c r="A19" t="s">
        <v>18</v>
      </c>
      <c r="B19" t="s">
        <v>20</v>
      </c>
      <c r="C19" t="s">
        <v>9</v>
      </c>
      <c r="D19">
        <v>62866407070</v>
      </c>
      <c r="E19" t="str">
        <f t="shared" si="0"/>
        <v>7517895205350395170</v>
      </c>
      <c r="F19">
        <v>45</v>
      </c>
      <c r="G19" s="2" t="s">
        <v>10</v>
      </c>
    </row>
    <row r="20" spans="1:7">
      <c r="A20" t="s">
        <v>16</v>
      </c>
      <c r="B20" t="s">
        <v>20</v>
      </c>
      <c r="C20" t="s">
        <v>9</v>
      </c>
      <c r="D20">
        <v>62866407070</v>
      </c>
      <c r="E20" t="str">
        <f t="shared" si="0"/>
        <v>7517895205350395170</v>
      </c>
      <c r="F20">
        <v>39</v>
      </c>
      <c r="G20" s="2" t="s">
        <v>10</v>
      </c>
    </row>
    <row r="21" spans="1:7">
      <c r="A21" t="s">
        <v>17</v>
      </c>
      <c r="B21" t="s">
        <v>20</v>
      </c>
      <c r="C21" t="s">
        <v>9</v>
      </c>
      <c r="D21">
        <v>62866407070</v>
      </c>
      <c r="E21" t="str">
        <f t="shared" si="0"/>
        <v>7517895205350395170</v>
      </c>
      <c r="F21">
        <v>38</v>
      </c>
      <c r="G21" s="2" t="s">
        <v>10</v>
      </c>
    </row>
    <row r="22" spans="1:7">
      <c r="A22" t="s">
        <v>19</v>
      </c>
      <c r="B22" t="s">
        <v>20</v>
      </c>
      <c r="C22" t="s">
        <v>9</v>
      </c>
      <c r="D22">
        <v>62866407070</v>
      </c>
      <c r="E22" t="str">
        <f t="shared" si="0"/>
        <v>7517895205350395170</v>
      </c>
      <c r="F22">
        <v>27</v>
      </c>
      <c r="G22" s="2" t="s">
        <v>10</v>
      </c>
    </row>
    <row r="23" spans="1:7">
      <c r="A23" t="s">
        <v>21</v>
      </c>
      <c r="B23" t="s">
        <v>20</v>
      </c>
      <c r="C23" t="s">
        <v>9</v>
      </c>
      <c r="D23">
        <v>62866407070</v>
      </c>
      <c r="E23" t="str">
        <f t="shared" si="0"/>
        <v>7517895205350395170</v>
      </c>
      <c r="F23">
        <v>21</v>
      </c>
      <c r="G23" s="2" t="s">
        <v>10</v>
      </c>
    </row>
    <row r="24" spans="1:7">
      <c r="A24" t="s">
        <v>13</v>
      </c>
      <c r="B24" t="s">
        <v>20</v>
      </c>
      <c r="C24" t="s">
        <v>22</v>
      </c>
      <c r="D24">
        <v>97541126339</v>
      </c>
      <c r="E24" t="str">
        <f>"7526065704807484698"</f>
        <v>7526065704807484698</v>
      </c>
      <c r="F24">
        <v>1</v>
      </c>
      <c r="G24" s="2" t="s">
        <v>10</v>
      </c>
    </row>
  </sheetData>
  <autoFilter ref="A1:F24">
    <extLst/>
  </autoFilter>
  <hyperlinks>
    <hyperlink ref="C2" r:id="rId1" display="https://www.douyin.com/discover?modal_id=751789520535039517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Ai+a0r5+paot6BhLWClPB2w8TWiEoB3ar83V5lQXcTA=</dc:title>
  <dc:description>{"sensitive_fields": [], "sensitive_level": null, "platform": "Aeolus", "time": "2025-07-14 17:51:26", "operator": "heyunjian", "query_id_list": ["aeolus.vizQuery.heyunjian.app_10001.report_6165648.dataset_2595081.a224ab7f-5b04-4e3f-aee1-9e0920664a1b.base-query._20250714_175119_YPYbXfMsnl.main_query_processed.small"], "download_line": 33, "download_module": "vizQuery", "file_name": "pick视频归因-2025-07-14 17-51-24.xlsx",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2025-07-15T01:51:00Z</dcterms:created>
  <dcterms:modified xsi:type="dcterms:W3CDTF">2025-07-15T10:35:11Z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C96D9F70793668A775D37468C824F5B0_43</vt:lpwstr>
  </property>
  <property fmtid="{D5CDD505-2E9C-101B-9397-08002B2CF9AE}" pid="3" name="KSOProductBuildVer">
    <vt:lpwstr>2052-4.2.2.6880</vt:lpwstr>
  </property>
</Properties>
</file>